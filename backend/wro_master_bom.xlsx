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e\OneDrive\Desktop\wro2026\"/>
    </mc:Choice>
  </mc:AlternateContent>
  <xr:revisionPtr revIDLastSave="0" documentId="13_ncr:1_{D908ADA9-37E4-4561-AD6D-BB0F9E73C43D}" xr6:coauthVersionLast="36" xr6:coauthVersionMax="36" xr10:uidLastSave="{00000000-0000-0000-0000-000000000000}"/>
  <bookViews>
    <workbookView xWindow="0" yWindow="0" windowWidth="20490" windowHeight="7545" xr2:uid="{333D83A8-395A-4AC1-B2CE-FCF051228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G61" i="1"/>
  <c r="G41" i="1"/>
  <c r="G40" i="1"/>
  <c r="G12" i="1"/>
</calcChain>
</file>

<file path=xl/sharedStrings.xml><?xml version="1.0" encoding="utf-8"?>
<sst xmlns="http://schemas.openxmlformats.org/spreadsheetml/2006/main" count="172" uniqueCount="108">
  <si>
    <t>Future Inovators</t>
  </si>
  <si>
    <t>Item name</t>
  </si>
  <si>
    <t xml:space="preserve">Pupose </t>
  </si>
  <si>
    <t>Location</t>
  </si>
  <si>
    <t>Availabilty</t>
  </si>
  <si>
    <t>Quantity</t>
  </si>
  <si>
    <t>Unit price</t>
  </si>
  <si>
    <t>total+shipping</t>
  </si>
  <si>
    <r>
      <t xml:space="preserve">linear  bearing  lm3uu,lm8uu </t>
    </r>
    <r>
      <rPr>
        <sz val="11"/>
        <color rgb="FFFF0000"/>
        <rFont val="Calibri"/>
        <family val="2"/>
        <scheme val="minor"/>
      </rPr>
      <t>urgent</t>
    </r>
  </si>
  <si>
    <t>for smooth movement</t>
  </si>
  <si>
    <t>aliexpress</t>
  </si>
  <si>
    <t xml:space="preserve">absent </t>
  </si>
  <si>
    <r>
      <t xml:space="preserve">8/3mm steel rod </t>
    </r>
    <r>
      <rPr>
        <sz val="11"/>
        <color rgb="FFFF0000"/>
        <rFont val="Calibri"/>
        <family val="2"/>
        <scheme val="minor"/>
      </rPr>
      <t>urgent</t>
    </r>
  </si>
  <si>
    <t>arduino</t>
  </si>
  <si>
    <t>for controling the motors</t>
  </si>
  <si>
    <t>ai lab</t>
  </si>
  <si>
    <t>present</t>
  </si>
  <si>
    <t>for processing</t>
  </si>
  <si>
    <t xml:space="preserve">sd card </t>
  </si>
  <si>
    <t>for file storage</t>
  </si>
  <si>
    <t>on street</t>
  </si>
  <si>
    <r>
      <t xml:space="preserve">servo motors </t>
    </r>
    <r>
      <rPr>
        <sz val="11"/>
        <color rgb="FFFF0000"/>
        <rFont val="Calibri"/>
        <family val="2"/>
        <scheme val="minor"/>
      </rPr>
      <t>urgent</t>
    </r>
  </si>
  <si>
    <t xml:space="preserve">to pick the game pieces </t>
  </si>
  <si>
    <t xml:space="preserve">abent </t>
  </si>
  <si>
    <r>
      <t xml:space="preserve">magnet </t>
    </r>
    <r>
      <rPr>
        <sz val="11"/>
        <color rgb="FFFF0000"/>
        <rFont val="Calibri"/>
        <family val="2"/>
        <scheme val="minor"/>
      </rPr>
      <t>urgent</t>
    </r>
  </si>
  <si>
    <t>for quick attachment</t>
  </si>
  <si>
    <r>
      <t xml:space="preserve">steel balls  </t>
    </r>
    <r>
      <rPr>
        <sz val="11"/>
        <color rgb="FFFF0000"/>
        <rFont val="Calibri"/>
        <family val="2"/>
        <scheme val="minor"/>
      </rPr>
      <t>urgent</t>
    </r>
  </si>
  <si>
    <t>to be insected into the the oware seed</t>
  </si>
  <si>
    <r>
      <t xml:space="preserve">timing belt pulley system  </t>
    </r>
    <r>
      <rPr>
        <sz val="11"/>
        <color rgb="FFFF0000"/>
        <rFont val="Calibri"/>
        <family val="2"/>
        <scheme val="minor"/>
      </rPr>
      <t>urgent</t>
    </r>
  </si>
  <si>
    <t xml:space="preserve">to transfer motion </t>
  </si>
  <si>
    <t xml:space="preserve">stepper motor </t>
  </si>
  <si>
    <t>for movement</t>
  </si>
  <si>
    <t>nauvitel</t>
  </si>
  <si>
    <t xml:space="preserve">stepper driver </t>
  </si>
  <si>
    <t>to control the stepper motor</t>
  </si>
  <si>
    <t>monitor</t>
  </si>
  <si>
    <t xml:space="preserve">to display information </t>
  </si>
  <si>
    <t>stem room</t>
  </si>
  <si>
    <t>limit switch</t>
  </si>
  <si>
    <t>for calibration</t>
  </si>
  <si>
    <t>screw</t>
  </si>
  <si>
    <t>for fastening</t>
  </si>
  <si>
    <t xml:space="preserve">on street </t>
  </si>
  <si>
    <t xml:space="preserve">3d printing filament </t>
  </si>
  <si>
    <t xml:space="preserve">for the 3d printer </t>
  </si>
  <si>
    <t xml:space="preserve">present </t>
  </si>
  <si>
    <r>
      <t>bluetooth speaker</t>
    </r>
    <r>
      <rPr>
        <sz val="11"/>
        <color rgb="FFFF0000"/>
        <rFont val="Calibri"/>
        <family val="2"/>
        <scheme val="minor"/>
      </rPr>
      <t xml:space="preserve"> urgent</t>
    </r>
  </si>
  <si>
    <t>for audio</t>
  </si>
  <si>
    <t>jumia</t>
  </si>
  <si>
    <t xml:space="preserve">aux wire </t>
  </si>
  <si>
    <t xml:space="preserve">for transer of sound </t>
  </si>
  <si>
    <t>on the street</t>
  </si>
  <si>
    <t>black tape</t>
  </si>
  <si>
    <t xml:space="preserve">for taping </t>
  </si>
  <si>
    <t>atlantic mall</t>
  </si>
  <si>
    <t xml:space="preserve">wires </t>
  </si>
  <si>
    <t xml:space="preserve">for connections </t>
  </si>
  <si>
    <t>aenics</t>
  </si>
  <si>
    <t>logitech camera</t>
  </si>
  <si>
    <t xml:space="preserve"> video feed for computer vision</t>
  </si>
  <si>
    <t xml:space="preserve">on the street </t>
  </si>
  <si>
    <r>
      <t xml:space="preserve">ld2450 </t>
    </r>
    <r>
      <rPr>
        <sz val="11"/>
        <color rgb="FFFF0000"/>
        <rFont val="Calibri"/>
        <family val="2"/>
        <scheme val="minor"/>
      </rPr>
      <t>urgent</t>
    </r>
  </si>
  <si>
    <t xml:space="preserve">ply wood </t>
  </si>
  <si>
    <t>perf board</t>
  </si>
  <si>
    <t>for permanent connection</t>
  </si>
  <si>
    <t>electromagnet</t>
  </si>
  <si>
    <t>for picking the game pieces</t>
  </si>
  <si>
    <t xml:space="preserve">buck convertor </t>
  </si>
  <si>
    <t>for setting down voltage</t>
  </si>
  <si>
    <r>
      <t>mosfet module</t>
    </r>
    <r>
      <rPr>
        <sz val="11"/>
        <color rgb="FFFF0000"/>
        <rFont val="Calibri"/>
        <family val="2"/>
        <scheme val="minor"/>
      </rPr>
      <t xml:space="preserve"> urgent</t>
    </r>
  </si>
  <si>
    <t>for turning on the electromagnet</t>
  </si>
  <si>
    <r>
      <t xml:space="preserve">hdmi mini adapter </t>
    </r>
    <r>
      <rPr>
        <sz val="11"/>
        <color rgb="FFFF0000"/>
        <rFont val="Calibri"/>
        <family val="2"/>
        <scheme val="minor"/>
      </rPr>
      <t xml:space="preserve"> urgent</t>
    </r>
  </si>
  <si>
    <t xml:space="preserve">for connecting the screen to the raspbery pi </t>
  </si>
  <si>
    <r>
      <t xml:space="preserve">rgb light strip  </t>
    </r>
    <r>
      <rPr>
        <sz val="11"/>
        <color rgb="FFFF0000"/>
        <rFont val="Calibri"/>
        <family val="2"/>
        <scheme val="minor"/>
      </rPr>
      <t>urgent</t>
    </r>
  </si>
  <si>
    <t>for showing errors</t>
  </si>
  <si>
    <r>
      <t xml:space="preserve">linear rail </t>
    </r>
    <r>
      <rPr>
        <sz val="11"/>
        <color rgb="FFFF0000"/>
        <rFont val="Calibri"/>
        <family val="2"/>
        <scheme val="minor"/>
      </rPr>
      <t>urgent</t>
    </r>
    <r>
      <rPr>
        <sz val="11"/>
        <color theme="1"/>
        <rFont val="Calibri"/>
        <family val="2"/>
        <scheme val="minor"/>
      </rPr>
      <t xml:space="preserve"> </t>
    </r>
  </si>
  <si>
    <t xml:space="preserve">jack </t>
  </si>
  <si>
    <t>to connect power supply</t>
  </si>
  <si>
    <t>power supply  24v</t>
  </si>
  <si>
    <t xml:space="preserve">for powering the robot </t>
  </si>
  <si>
    <t xml:space="preserve">ai lab </t>
  </si>
  <si>
    <t xml:space="preserve">washers </t>
  </si>
  <si>
    <t xml:space="preserve">for making the game pieces magnetic </t>
  </si>
  <si>
    <t>panda mart</t>
  </si>
  <si>
    <t xml:space="preserve">zip tyres </t>
  </si>
  <si>
    <t xml:space="preserve">for cable management </t>
  </si>
  <si>
    <t>esp32</t>
  </si>
  <si>
    <t>for fluid nc</t>
  </si>
  <si>
    <t>2 channel relay</t>
  </si>
  <si>
    <t>for the limit switch</t>
  </si>
  <si>
    <t>celulose laquer</t>
  </si>
  <si>
    <t>for finishing</t>
  </si>
  <si>
    <t>solder</t>
  </si>
  <si>
    <t xml:space="preserve">for soldering </t>
  </si>
  <si>
    <t xml:space="preserve">nauvitel </t>
  </si>
  <si>
    <t>Robomission</t>
  </si>
  <si>
    <t>Robo Sport</t>
  </si>
  <si>
    <t xml:space="preserve">Pixy 2 CMUcam5 Image Recognition Vision Camera Sensor (LPC4330, 204 MHz) </t>
  </si>
  <si>
    <t>for video feed</t>
  </si>
  <si>
    <t>absent</t>
  </si>
  <si>
    <t>Total</t>
  </si>
  <si>
    <t>t</t>
  </si>
  <si>
    <t>Grand Total</t>
  </si>
  <si>
    <t>Sum of urgent items</t>
  </si>
  <si>
    <t xml:space="preserve">for movement </t>
  </si>
  <si>
    <t xml:space="preserve">for the structure </t>
  </si>
  <si>
    <t>for presence detection</t>
  </si>
  <si>
    <t>raspberrypi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</si>
</sst>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GH₵&quot;* #,##0.00_-;\-&quot;GH₵&quot;* #,##0.00_-;_-&quot;GH₵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4" fillId="0" borderId="0" xfId="0" applyFont="1"/>
    <xf numFmtId="44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037E-8273-4AA5-8829-58C8049F6E66}">
  <dimension ref="A1:I70"/>
  <sheetViews>
    <sheetView tabSelected="1" zoomScale="76" workbookViewId="0">
      <selection activeCell="B15" sqref="B15"/>
    </sheetView>
  </sheetViews>
  <sheetFormatPr defaultRowHeight="15" x14ac:dyDescent="0.25"/>
  <cols>
    <col min="1" max="1" width="85.85546875" bestFit="1" customWidth="1"/>
    <col min="2" max="2" width="42.140625" bestFit="1" customWidth="1"/>
    <col min="3" max="3" width="27.42578125" bestFit="1" customWidth="1"/>
    <col min="4" max="4" width="10.42578125" bestFit="1" customWidth="1"/>
    <col min="5" max="5" width="8.7109375" bestFit="1" customWidth="1"/>
    <col min="6" max="6" width="20.42578125" bestFit="1" customWidth="1"/>
    <col min="7" max="7" width="18.85546875" bestFit="1" customWidth="1"/>
  </cols>
  <sheetData>
    <row r="1" spans="1:9" x14ac:dyDescent="0.25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  <c r="E3">
        <v>5</v>
      </c>
      <c r="F3">
        <v>27</v>
      </c>
      <c r="G3">
        <v>133</v>
      </c>
    </row>
    <row r="4" spans="1:9" x14ac:dyDescent="0.25">
      <c r="A4" t="s">
        <v>12</v>
      </c>
      <c r="B4" t="s">
        <v>9</v>
      </c>
      <c r="C4" t="s">
        <v>10</v>
      </c>
      <c r="D4" t="s">
        <v>11</v>
      </c>
      <c r="E4">
        <v>8</v>
      </c>
      <c r="F4">
        <v>62</v>
      </c>
      <c r="G4">
        <v>509</v>
      </c>
    </row>
    <row r="5" spans="1:9" x14ac:dyDescent="0.25">
      <c r="A5" t="s">
        <v>13</v>
      </c>
      <c r="B5" t="s">
        <v>14</v>
      </c>
      <c r="C5" t="s">
        <v>15</v>
      </c>
      <c r="D5" t="s">
        <v>16</v>
      </c>
      <c r="E5">
        <v>1</v>
      </c>
      <c r="F5">
        <v>0</v>
      </c>
      <c r="G5">
        <v>0</v>
      </c>
    </row>
    <row r="6" spans="1:9" x14ac:dyDescent="0.25">
      <c r="A6" t="s">
        <v>107</v>
      </c>
      <c r="B6" t="s">
        <v>17</v>
      </c>
      <c r="C6" t="s">
        <v>15</v>
      </c>
      <c r="D6" t="s">
        <v>16</v>
      </c>
      <c r="E6">
        <v>1</v>
      </c>
      <c r="F6">
        <v>0</v>
      </c>
      <c r="G6">
        <v>0</v>
      </c>
    </row>
    <row r="7" spans="1:9" x14ac:dyDescent="0.25">
      <c r="A7" t="s">
        <v>18</v>
      </c>
      <c r="B7" t="s">
        <v>19</v>
      </c>
      <c r="C7" t="s">
        <v>20</v>
      </c>
      <c r="D7" t="s">
        <v>11</v>
      </c>
      <c r="E7">
        <v>1</v>
      </c>
      <c r="F7">
        <v>50</v>
      </c>
      <c r="G7">
        <v>50</v>
      </c>
    </row>
    <row r="8" spans="1:9" x14ac:dyDescent="0.25">
      <c r="A8" t="s">
        <v>21</v>
      </c>
      <c r="B8" t="s">
        <v>22</v>
      </c>
      <c r="C8" t="s">
        <v>10</v>
      </c>
      <c r="D8" t="s">
        <v>23</v>
      </c>
      <c r="E8">
        <v>1</v>
      </c>
      <c r="F8">
        <v>55</v>
      </c>
      <c r="G8">
        <v>54</v>
      </c>
    </row>
    <row r="9" spans="1:9" x14ac:dyDescent="0.25">
      <c r="A9" t="s">
        <v>24</v>
      </c>
      <c r="B9" t="s">
        <v>25</v>
      </c>
      <c r="C9" t="s">
        <v>10</v>
      </c>
      <c r="D9" t="s">
        <v>11</v>
      </c>
      <c r="E9">
        <v>1</v>
      </c>
      <c r="F9">
        <v>20</v>
      </c>
      <c r="G9">
        <v>20</v>
      </c>
    </row>
    <row r="10" spans="1:9" x14ac:dyDescent="0.25">
      <c r="A10" t="s">
        <v>26</v>
      </c>
      <c r="B10" t="s">
        <v>27</v>
      </c>
      <c r="C10" t="s">
        <v>10</v>
      </c>
      <c r="D10" t="s">
        <v>11</v>
      </c>
      <c r="E10">
        <v>2</v>
      </c>
      <c r="F10">
        <v>59</v>
      </c>
      <c r="G10">
        <v>166</v>
      </c>
    </row>
    <row r="11" spans="1:9" x14ac:dyDescent="0.25">
      <c r="A11" t="s">
        <v>28</v>
      </c>
      <c r="B11" t="s">
        <v>29</v>
      </c>
      <c r="C11" t="s">
        <v>10</v>
      </c>
      <c r="D11" t="s">
        <v>11</v>
      </c>
      <c r="E11">
        <v>1</v>
      </c>
      <c r="F11">
        <v>146</v>
      </c>
      <c r="G11">
        <v>146</v>
      </c>
    </row>
    <row r="12" spans="1:9" x14ac:dyDescent="0.25">
      <c r="A12" t="s">
        <v>30</v>
      </c>
      <c r="B12" t="s">
        <v>31</v>
      </c>
      <c r="C12" t="s">
        <v>32</v>
      </c>
      <c r="D12" t="s">
        <v>11</v>
      </c>
      <c r="E12">
        <v>2</v>
      </c>
      <c r="F12">
        <v>136</v>
      </c>
      <c r="G12">
        <f>E12*F12</f>
        <v>272</v>
      </c>
    </row>
    <row r="13" spans="1:9" x14ac:dyDescent="0.25">
      <c r="A13" t="s">
        <v>33</v>
      </c>
      <c r="B13" t="s">
        <v>34</v>
      </c>
      <c r="C13" t="s">
        <v>32</v>
      </c>
      <c r="D13" t="s">
        <v>11</v>
      </c>
      <c r="E13">
        <v>2</v>
      </c>
      <c r="F13">
        <v>180</v>
      </c>
      <c r="G13">
        <v>360</v>
      </c>
    </row>
    <row r="14" spans="1:9" x14ac:dyDescent="0.25">
      <c r="A14" t="s">
        <v>35</v>
      </c>
      <c r="B14" t="s">
        <v>36</v>
      </c>
      <c r="C14" t="s">
        <v>37</v>
      </c>
      <c r="D14" t="s">
        <v>11</v>
      </c>
      <c r="E14">
        <v>1</v>
      </c>
      <c r="F14">
        <v>0</v>
      </c>
      <c r="G14">
        <v>0</v>
      </c>
    </row>
    <row r="15" spans="1:9" x14ac:dyDescent="0.25">
      <c r="A15" t="s">
        <v>38</v>
      </c>
      <c r="B15" t="s">
        <v>39</v>
      </c>
      <c r="C15" t="s">
        <v>32</v>
      </c>
      <c r="D15" t="s">
        <v>11</v>
      </c>
      <c r="E15">
        <v>2</v>
      </c>
      <c r="F15">
        <v>7</v>
      </c>
      <c r="G15">
        <v>14</v>
      </c>
    </row>
    <row r="16" spans="1:9" x14ac:dyDescent="0.25">
      <c r="A16" t="s">
        <v>40</v>
      </c>
      <c r="B16" t="s">
        <v>41</v>
      </c>
      <c r="C16" t="s">
        <v>42</v>
      </c>
      <c r="D16" t="s">
        <v>11</v>
      </c>
      <c r="E16">
        <v>2</v>
      </c>
      <c r="F16">
        <v>20</v>
      </c>
      <c r="G16">
        <v>40</v>
      </c>
    </row>
    <row r="17" spans="1:7" x14ac:dyDescent="0.25">
      <c r="A17" t="s">
        <v>43</v>
      </c>
      <c r="B17" t="s">
        <v>44</v>
      </c>
      <c r="C17" t="s">
        <v>37</v>
      </c>
      <c r="D17" t="s">
        <v>45</v>
      </c>
      <c r="E17">
        <v>2</v>
      </c>
      <c r="F17">
        <v>0</v>
      </c>
      <c r="G17">
        <v>0</v>
      </c>
    </row>
    <row r="18" spans="1:7" x14ac:dyDescent="0.25">
      <c r="A18" t="s">
        <v>46</v>
      </c>
      <c r="B18" t="s">
        <v>47</v>
      </c>
      <c r="C18" t="s">
        <v>48</v>
      </c>
      <c r="D18" t="s">
        <v>11</v>
      </c>
      <c r="E18">
        <v>1</v>
      </c>
      <c r="F18">
        <v>121</v>
      </c>
      <c r="G18">
        <v>135</v>
      </c>
    </row>
    <row r="19" spans="1:7" x14ac:dyDescent="0.25">
      <c r="A19" t="s">
        <v>49</v>
      </c>
      <c r="B19" t="s">
        <v>50</v>
      </c>
      <c r="C19" t="s">
        <v>51</v>
      </c>
      <c r="D19" t="s">
        <v>11</v>
      </c>
      <c r="E19">
        <v>1</v>
      </c>
      <c r="F19">
        <v>50</v>
      </c>
      <c r="G19">
        <v>50</v>
      </c>
    </row>
    <row r="20" spans="1:7" x14ac:dyDescent="0.25">
      <c r="A20" t="s">
        <v>52</v>
      </c>
      <c r="B20" t="s">
        <v>53</v>
      </c>
      <c r="C20" t="s">
        <v>54</v>
      </c>
      <c r="D20" t="s">
        <v>11</v>
      </c>
      <c r="E20">
        <v>1</v>
      </c>
      <c r="F20">
        <v>10</v>
      </c>
      <c r="G20">
        <v>10</v>
      </c>
    </row>
    <row r="21" spans="1:7" x14ac:dyDescent="0.25">
      <c r="A21" t="s">
        <v>55</v>
      </c>
      <c r="B21" t="s">
        <v>56</v>
      </c>
      <c r="C21" t="s">
        <v>57</v>
      </c>
      <c r="D21" t="s">
        <v>11</v>
      </c>
      <c r="E21">
        <v>1</v>
      </c>
      <c r="F21">
        <v>180</v>
      </c>
      <c r="G21">
        <v>180</v>
      </c>
    </row>
    <row r="22" spans="1:7" x14ac:dyDescent="0.25">
      <c r="A22" t="s">
        <v>58</v>
      </c>
      <c r="B22" t="s">
        <v>59</v>
      </c>
      <c r="C22" t="s">
        <v>60</v>
      </c>
      <c r="D22" t="s">
        <v>11</v>
      </c>
      <c r="E22">
        <v>1</v>
      </c>
      <c r="F22">
        <v>450</v>
      </c>
      <c r="G22">
        <v>450</v>
      </c>
    </row>
    <row r="23" spans="1:7" x14ac:dyDescent="0.25">
      <c r="A23" t="s">
        <v>61</v>
      </c>
      <c r="B23" t="s">
        <v>106</v>
      </c>
      <c r="C23" t="s">
        <v>10</v>
      </c>
      <c r="D23" t="s">
        <v>11</v>
      </c>
      <c r="E23">
        <v>1</v>
      </c>
      <c r="F23">
        <v>78</v>
      </c>
      <c r="G23">
        <v>78</v>
      </c>
    </row>
    <row r="24" spans="1:7" x14ac:dyDescent="0.25">
      <c r="A24" t="s">
        <v>62</v>
      </c>
      <c r="B24" t="s">
        <v>105</v>
      </c>
      <c r="C24" t="s">
        <v>42</v>
      </c>
      <c r="D24" t="s">
        <v>11</v>
      </c>
      <c r="E24">
        <v>1</v>
      </c>
      <c r="F24">
        <v>200</v>
      </c>
      <c r="G24">
        <v>200</v>
      </c>
    </row>
    <row r="25" spans="1:7" x14ac:dyDescent="0.25">
      <c r="A25" t="s">
        <v>63</v>
      </c>
      <c r="B25" t="s">
        <v>64</v>
      </c>
      <c r="C25" t="s">
        <v>32</v>
      </c>
      <c r="D25" t="s">
        <v>11</v>
      </c>
      <c r="E25">
        <v>1</v>
      </c>
      <c r="F25">
        <v>25</v>
      </c>
      <c r="G25">
        <v>25</v>
      </c>
    </row>
    <row r="26" spans="1:7" x14ac:dyDescent="0.25">
      <c r="A26" t="s">
        <v>65</v>
      </c>
      <c r="B26" t="s">
        <v>66</v>
      </c>
      <c r="C26" t="s">
        <v>32</v>
      </c>
      <c r="D26" t="s">
        <v>11</v>
      </c>
      <c r="E26">
        <v>1</v>
      </c>
      <c r="F26">
        <v>63</v>
      </c>
      <c r="G26">
        <v>63</v>
      </c>
    </row>
    <row r="27" spans="1:7" x14ac:dyDescent="0.25">
      <c r="A27" t="s">
        <v>67</v>
      </c>
      <c r="B27" t="s">
        <v>68</v>
      </c>
      <c r="C27" t="s">
        <v>32</v>
      </c>
      <c r="D27" t="s">
        <v>11</v>
      </c>
      <c r="E27">
        <v>2</v>
      </c>
      <c r="F27">
        <v>18</v>
      </c>
      <c r="G27">
        <v>36</v>
      </c>
    </row>
    <row r="28" spans="1:7" x14ac:dyDescent="0.25">
      <c r="A28" t="s">
        <v>69</v>
      </c>
      <c r="B28" t="s">
        <v>70</v>
      </c>
      <c r="C28" t="s">
        <v>10</v>
      </c>
      <c r="D28" t="s">
        <v>11</v>
      </c>
      <c r="E28">
        <v>1</v>
      </c>
      <c r="F28">
        <v>11</v>
      </c>
      <c r="G28">
        <v>18</v>
      </c>
    </row>
    <row r="29" spans="1:7" x14ac:dyDescent="0.25">
      <c r="A29" t="s">
        <v>71</v>
      </c>
      <c r="B29" t="s">
        <v>72</v>
      </c>
      <c r="C29" t="s">
        <v>48</v>
      </c>
      <c r="D29" t="s">
        <v>11</v>
      </c>
      <c r="E29">
        <v>1</v>
      </c>
      <c r="F29">
        <v>47</v>
      </c>
      <c r="G29">
        <v>65</v>
      </c>
    </row>
    <row r="30" spans="1:7" x14ac:dyDescent="0.25">
      <c r="A30" t="s">
        <v>73</v>
      </c>
      <c r="B30" t="s">
        <v>74</v>
      </c>
      <c r="C30" t="s">
        <v>48</v>
      </c>
      <c r="D30" t="s">
        <v>11</v>
      </c>
      <c r="E30">
        <v>1</v>
      </c>
      <c r="F30">
        <v>54</v>
      </c>
      <c r="G30">
        <v>72</v>
      </c>
    </row>
    <row r="31" spans="1:7" x14ac:dyDescent="0.25">
      <c r="A31" t="s">
        <v>75</v>
      </c>
      <c r="B31" t="s">
        <v>104</v>
      </c>
      <c r="C31" t="s">
        <v>10</v>
      </c>
      <c r="D31" t="s">
        <v>11</v>
      </c>
      <c r="E31">
        <v>1</v>
      </c>
      <c r="F31">
        <v>62</v>
      </c>
      <c r="G31">
        <v>62</v>
      </c>
    </row>
    <row r="32" spans="1:7" x14ac:dyDescent="0.25">
      <c r="A32" t="s">
        <v>76</v>
      </c>
      <c r="B32" t="s">
        <v>77</v>
      </c>
      <c r="C32" t="s">
        <v>32</v>
      </c>
      <c r="D32" t="s">
        <v>11</v>
      </c>
      <c r="E32">
        <v>1</v>
      </c>
      <c r="F32">
        <v>10</v>
      </c>
      <c r="G32">
        <v>10</v>
      </c>
    </row>
    <row r="33" spans="1:8" x14ac:dyDescent="0.25">
      <c r="A33" t="s">
        <v>78</v>
      </c>
      <c r="B33" t="s">
        <v>79</v>
      </c>
      <c r="C33" t="s">
        <v>80</v>
      </c>
      <c r="D33" t="s">
        <v>45</v>
      </c>
      <c r="E33">
        <v>1</v>
      </c>
      <c r="F33">
        <v>0</v>
      </c>
      <c r="G33">
        <v>0</v>
      </c>
    </row>
    <row r="34" spans="1:8" x14ac:dyDescent="0.25">
      <c r="A34" t="s">
        <v>81</v>
      </c>
      <c r="B34" t="s">
        <v>82</v>
      </c>
      <c r="C34" t="s">
        <v>83</v>
      </c>
      <c r="D34" t="s">
        <v>11</v>
      </c>
      <c r="E34">
        <v>2</v>
      </c>
      <c r="F34">
        <v>10</v>
      </c>
      <c r="G34">
        <v>20</v>
      </c>
    </row>
    <row r="35" spans="1:8" x14ac:dyDescent="0.25">
      <c r="A35" t="s">
        <v>84</v>
      </c>
      <c r="B35" t="s">
        <v>85</v>
      </c>
      <c r="C35" t="s">
        <v>83</v>
      </c>
      <c r="D35" t="s">
        <v>11</v>
      </c>
      <c r="E35">
        <v>2</v>
      </c>
      <c r="F35">
        <v>10</v>
      </c>
      <c r="G35">
        <v>20</v>
      </c>
    </row>
    <row r="36" spans="1:8" x14ac:dyDescent="0.25">
      <c r="A36" t="s">
        <v>86</v>
      </c>
      <c r="B36" t="s">
        <v>87</v>
      </c>
      <c r="C36" t="s">
        <v>32</v>
      </c>
      <c r="D36" t="s">
        <v>11</v>
      </c>
      <c r="E36">
        <v>1</v>
      </c>
      <c r="F36">
        <v>120</v>
      </c>
      <c r="G36">
        <v>120</v>
      </c>
    </row>
    <row r="37" spans="1:8" x14ac:dyDescent="0.25">
      <c r="A37" t="s">
        <v>88</v>
      </c>
      <c r="B37" t="s">
        <v>89</v>
      </c>
      <c r="C37" t="s">
        <v>57</v>
      </c>
      <c r="D37" t="s">
        <v>11</v>
      </c>
      <c r="E37">
        <v>1</v>
      </c>
      <c r="F37">
        <v>18</v>
      </c>
      <c r="G37">
        <v>18</v>
      </c>
    </row>
    <row r="38" spans="1:8" x14ac:dyDescent="0.25">
      <c r="A38" t="s">
        <v>90</v>
      </c>
      <c r="B38" t="s">
        <v>91</v>
      </c>
      <c r="C38" t="s">
        <v>20</v>
      </c>
      <c r="D38" t="s">
        <v>11</v>
      </c>
      <c r="E38">
        <v>1</v>
      </c>
      <c r="F38">
        <v>50</v>
      </c>
      <c r="G38">
        <v>50</v>
      </c>
    </row>
    <row r="39" spans="1:8" x14ac:dyDescent="0.25">
      <c r="A39" t="s">
        <v>92</v>
      </c>
      <c r="B39" t="s">
        <v>93</v>
      </c>
      <c r="C39" t="s">
        <v>94</v>
      </c>
      <c r="D39" t="s">
        <v>11</v>
      </c>
      <c r="E39">
        <v>1</v>
      </c>
    </row>
    <row r="40" spans="1:8" x14ac:dyDescent="0.25">
      <c r="F40" t="s">
        <v>100</v>
      </c>
      <c r="G40">
        <f>SUM(G3:G38)</f>
        <v>3446</v>
      </c>
    </row>
    <row r="41" spans="1:8" x14ac:dyDescent="0.25">
      <c r="F41" t="s">
        <v>103</v>
      </c>
      <c r="G41">
        <f>SUM(G8,G3,G4,G9,G10,G11,G18,G23,G28,G28,G28,G29,G29,G30,G31)</f>
        <v>1559</v>
      </c>
    </row>
    <row r="48" spans="1:8" x14ac:dyDescent="0.25">
      <c r="A48" s="7" t="s">
        <v>95</v>
      </c>
      <c r="B48" s="8"/>
      <c r="C48" s="8"/>
      <c r="D48" s="8"/>
      <c r="E48" s="8"/>
      <c r="F48" s="8"/>
      <c r="G48" s="8"/>
      <c r="H48" s="8"/>
    </row>
    <row r="50" spans="1:9" ht="15.75" x14ac:dyDescent="0.25">
      <c r="A50" s="3" t="s">
        <v>97</v>
      </c>
      <c r="B50" t="s">
        <v>98</v>
      </c>
      <c r="C50" t="s">
        <v>10</v>
      </c>
      <c r="D50" t="s">
        <v>99</v>
      </c>
      <c r="E50">
        <v>1</v>
      </c>
      <c r="F50" s="4">
        <v>1674.21</v>
      </c>
      <c r="G50" s="4">
        <v>1745.37</v>
      </c>
    </row>
    <row r="52" spans="1:9" x14ac:dyDescent="0.25">
      <c r="F52" s="2" t="s">
        <v>100</v>
      </c>
      <c r="G52">
        <v>1746</v>
      </c>
    </row>
    <row r="55" spans="1:9" x14ac:dyDescent="0.25">
      <c r="A55" s="7" t="s">
        <v>96</v>
      </c>
      <c r="B55" s="7"/>
      <c r="C55" s="7"/>
      <c r="D55" s="7"/>
      <c r="E55" s="7"/>
      <c r="F55" s="7"/>
      <c r="G55" s="7"/>
      <c r="H55" s="7"/>
      <c r="I55" s="1"/>
    </row>
    <row r="58" spans="1:9" ht="15.75" x14ac:dyDescent="0.25">
      <c r="A58" s="3" t="s">
        <v>97</v>
      </c>
      <c r="B58" t="s">
        <v>98</v>
      </c>
      <c r="C58" t="s">
        <v>10</v>
      </c>
      <c r="D58" t="s">
        <v>99</v>
      </c>
      <c r="E58">
        <v>2</v>
      </c>
      <c r="F58" s="4">
        <v>1674.21</v>
      </c>
      <c r="G58" s="4">
        <v>1746</v>
      </c>
    </row>
    <row r="61" spans="1:9" x14ac:dyDescent="0.25">
      <c r="F61" s="2" t="s">
        <v>100</v>
      </c>
      <c r="G61">
        <f>G58*2</f>
        <v>3492</v>
      </c>
    </row>
    <row r="64" spans="1:9" ht="28.5" x14ac:dyDescent="0.45">
      <c r="B64" s="5" t="s">
        <v>102</v>
      </c>
      <c r="C64" s="6">
        <f>SUM(G40,G61,G52)</f>
        <v>8684</v>
      </c>
    </row>
    <row r="70" spans="1:1" x14ac:dyDescent="0.25">
      <c r="A70" t="s">
        <v>101</v>
      </c>
    </row>
  </sheetData>
  <mergeCells count="3">
    <mergeCell ref="A1:I1"/>
    <mergeCell ref="A48:H48"/>
    <mergeCell ref="A55:H5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EFUA</dc:creator>
  <cp:lastModifiedBy>MAAME EFUA</cp:lastModifiedBy>
  <dcterms:created xsi:type="dcterms:W3CDTF">2026-05-17T16:42:30Z</dcterms:created>
  <dcterms:modified xsi:type="dcterms:W3CDTF">2026-05-19T03:42:55Z</dcterms:modified>
</cp:coreProperties>
</file>